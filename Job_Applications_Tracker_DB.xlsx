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Job Applications" sheetId="1" state="visible" r:id="rId1"/>
    <sheet xmlns:r="http://schemas.openxmlformats.org/officeDocument/2006/relationships" name="Dashboar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rgb="FFFFFFFF"/>
      <sz val="10"/>
    </font>
    <font>
      <name val="Arial"/>
      <b val="1"/>
      <color rgb="00FFFFFF"/>
      <sz val="10"/>
    </font>
    <font>
      <name val="Arial"/>
      <b val="1"/>
      <color rgb="001F4E79"/>
      <sz val="16"/>
    </font>
    <font>
      <name val="Arial"/>
      <b val="1"/>
      <color rgb="00FFFFFF"/>
      <sz val="11"/>
    </font>
    <font>
      <name val="Arial"/>
      <color rgb="00404040"/>
      <sz val="11"/>
    </font>
    <font>
      <name val="Arial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4" borderId="0" pivotButton="0" quotePrefix="0" xfId="0"/>
    <xf numFmtId="0" fontId="6" fillId="4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/>
  </cellStyles>
  <dxfs count="4">
    <dxf>
      <font>
        <b val="1"/>
        <color rgb="00276221"/>
      </font>
      <fill>
        <patternFill patternType="solid">
          <fgColor rgb="00C6EFCE"/>
          <bgColor rgb="00C6EF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1F4E79"/>
      </font>
      <fill>
        <patternFill patternType="solid">
          <fgColor rgb="00BDD7EE"/>
          <bgColor rgb="00BDD7E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1"/>
  <sheetViews>
    <sheetView tabSelected="1" zoomScale="78" zoomScaleNormal="78" workbookViewId="0">
      <pane ySplit="1" topLeftCell="A2" activePane="bottomLeft" state="frozen"/>
      <selection pane="bottomLeft" activeCell="A1" sqref="A1"/>
    </sheetView>
  </sheetViews>
  <sheetFormatPr baseColWidth="8" defaultColWidth="12.6640625" defaultRowHeight="15.75" customHeight="1"/>
  <cols>
    <col width="15" customWidth="1" min="1" max="1"/>
    <col width="15" customWidth="1" min="2" max="2"/>
    <col width="15" customWidth="1" min="3" max="4"/>
    <col width="25" customWidth="1" min="4" max="4"/>
    <col width="35" customWidth="1" min="5" max="5"/>
    <col width="25" customWidth="1" min="6" max="6"/>
    <col width="15" customWidth="1" min="7" max="7"/>
    <col width="18" customWidth="1" min="8" max="8"/>
    <col width="20" customWidth="1" min="9" max="9"/>
    <col width="25" customWidth="1" min="10" max="11"/>
    <col width="15" customWidth="1" min="11" max="11"/>
    <col width="50" customWidth="1" min="12" max="12"/>
    <col width="15" customWidth="1" min="13" max="13"/>
    <col width="35" customWidth="1" min="14" max="14"/>
    <col width="35" customWidth="1" min="15" max="15"/>
    <col width="15" customWidth="1" min="16" max="16"/>
    <col width="35" customWidth="1" min="17" max="17"/>
    <col width="18" customWidth="1" min="18" max="18"/>
  </cols>
  <sheetData>
    <row r="1" ht="35" customHeight="1">
      <c r="A1" s="2" t="inlineStr">
        <is>
          <t>Status</t>
        </is>
      </c>
      <c r="B1" s="2" t="inlineStr">
        <is>
          <t>Applied By</t>
        </is>
      </c>
      <c r="C1" s="2" t="inlineStr">
        <is>
          <t>Applied Date</t>
        </is>
      </c>
      <c r="D1" s="2" t="inlineStr">
        <is>
          <t>Notes</t>
        </is>
      </c>
      <c r="E1" s="2" t="inlineStr">
        <is>
          <t>Job Post Link</t>
        </is>
      </c>
      <c r="F1" s="2" t="inlineStr">
        <is>
          <t>Job Title</t>
        </is>
      </c>
      <c r="G1" s="2" t="inlineStr">
        <is>
          <t>Seniority Level</t>
        </is>
      </c>
      <c r="H1" s="2" t="inlineStr">
        <is>
          <t>Posted At</t>
        </is>
      </c>
      <c r="I1" s="2" t="inlineStr">
        <is>
          <t>Company Name</t>
        </is>
      </c>
      <c r="J1" s="2" t="inlineStr">
        <is>
          <t>Company Website</t>
        </is>
      </c>
      <c r="K1" s="2" t="inlineStr">
        <is>
          <t>Salary</t>
        </is>
      </c>
      <c r="L1" s="2" t="inlineStr">
        <is>
          <t>Description</t>
        </is>
      </c>
      <c r="M1" s="2" t="inlineStr">
        <is>
          <t>No Applicants</t>
        </is>
      </c>
      <c r="N1" s="2" t="inlineStr">
        <is>
          <t>Resume URL</t>
        </is>
      </c>
      <c r="O1" s="2" t="inlineStr">
        <is>
          <t>Application URL</t>
        </is>
      </c>
      <c r="P1" s="2" t="inlineStr">
        <is>
          <t>Sponsorship</t>
        </is>
      </c>
      <c r="Q1" s="2" t="inlineStr">
        <is>
          <t>Verdict Reason</t>
        </is>
      </c>
      <c r="R1" s="2" t="inlineStr">
        <is>
          <t>Date Added</t>
        </is>
      </c>
    </row>
  </sheetData>
  <conditionalFormatting sqref="A2:A10000">
    <cfRule type="cellIs" priority="1" operator="equal" dxfId="0">
      <formula>"Applied"</formula>
    </cfRule>
    <cfRule type="cellIs" priority="2" operator="equal" dxfId="1">
      <formula>"In Progress"</formula>
    </cfRule>
    <cfRule type="cellIs" priority="3" operator="equal" dxfId="2">
      <formula>"Not Applied"</formula>
    </cfRule>
    <cfRule type="cellIs" priority="4" operator="equal" dxfId="3">
      <formula>"Skipped"</formula>
    </cfRule>
  </conditionalFormatting>
  <dataValidations count="2">
    <dataValidation sqref="A2:A10000" showDropDown="0" showInputMessage="0" showErrorMessage="0" allowBlank="0" type="list">
      <formula1>"Not Applied,In Progress,Applied,Skipped"</formula1>
    </dataValidation>
    <dataValidation sqref="B2:B10000" showDropDown="0" showInputMessage="0" showErrorMessage="0" allowBlank="1" type="list">
      <formula1>"Haneesh,Yashwath,Jashu,Uday"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3" t="inlineStr">
        <is>
          <t>Job Application Dashboard</t>
        </is>
      </c>
    </row>
    <row r="3">
      <c r="A3" s="4" t="inlineStr">
        <is>
          <t>Metric</t>
        </is>
      </c>
      <c r="B3" s="4" t="inlineStr">
        <is>
          <t>Value</t>
        </is>
      </c>
    </row>
    <row r="4">
      <c r="A4" s="5" t="inlineStr">
        <is>
          <t>Total Jobs Scraped</t>
        </is>
      </c>
      <c r="B4" s="6">
        <f>COUNTA('Job Applications'!A2:A10000)</f>
        <v/>
      </c>
    </row>
    <row r="5">
      <c r="A5" s="7" t="inlineStr">
        <is>
          <t>Not Applied</t>
        </is>
      </c>
      <c r="B5" s="8">
        <f>COUNTIF('Job Applications'!A:A,"Not Applied")</f>
        <v/>
      </c>
    </row>
    <row r="6">
      <c r="A6" s="5" t="inlineStr">
        <is>
          <t>In Progress</t>
        </is>
      </c>
      <c r="B6" s="6">
        <f>COUNTIF('Job Applications'!A:A,"In Progress")</f>
        <v/>
      </c>
    </row>
    <row r="7">
      <c r="A7" s="7" t="inlineStr">
        <is>
          <t>Applied</t>
        </is>
      </c>
      <c r="B7" s="8">
        <f>COUNTIF('Job Applications'!A:A,"Applied")</f>
        <v/>
      </c>
    </row>
    <row r="8">
      <c r="A8" s="5" t="inlineStr">
        <is>
          <t>Skipped</t>
        </is>
      </c>
      <c r="B8" s="6">
        <f>COUNTIF('Job Applications'!A:A,"Skipped")</f>
        <v/>
      </c>
    </row>
    <row r="9">
      <c r="A9" s="7" t="inlineStr"/>
    </row>
    <row r="10">
      <c r="A10" s="5" t="inlineStr">
        <is>
          <t>Applied By Haneesh</t>
        </is>
      </c>
      <c r="B10" s="6">
        <f>COUNTIF('Job Applications'!B:B,"Haneesh")</f>
        <v/>
      </c>
    </row>
    <row r="11">
      <c r="A11" s="7" t="inlineStr">
        <is>
          <t>Applied By Yashwath</t>
        </is>
      </c>
      <c r="B11" s="8">
        <f>COUNTIF('Job Applications'!B:B,"Yashwath")</f>
        <v/>
      </c>
    </row>
    <row r="12">
      <c r="A12" s="5" t="inlineStr">
        <is>
          <t>Applied By Jashu</t>
        </is>
      </c>
      <c r="B12" s="6">
        <f>COUNTIF('Job Applications'!B:B,"Jashu")</f>
        <v/>
      </c>
    </row>
    <row r="13">
      <c r="A13" s="7" t="inlineStr">
        <is>
          <t>Applied By Uday</t>
        </is>
      </c>
      <c r="B13" s="8">
        <f>COUNTIF('Job Applications'!B:B,"Uday")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2026-04-12T01:12:12Z</dcterms:created>
  <dcterms:modified xmlns:dcterms="http://purl.org/dc/terms/" xmlns:xsi="http://www.w3.org/2001/XMLSchema-instance" xsi:type="dcterms:W3CDTF">2026-04-27T19:30:20Z</dcterms:modified>
  <cp:lastModifiedBy>haneesh nellore</cp:lastModifiedBy>
</cp:coreProperties>
</file>